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A" sheetId="1" r:id="rId5"/>
    <sheet state="visible" name="Cost aware matrix" sheetId="2" r:id="rId6"/>
  </sheets>
  <definedNames/>
  <calcPr/>
</workbook>
</file>

<file path=xl/sharedStrings.xml><?xml version="1.0" encoding="utf-8"?>
<sst xmlns="http://schemas.openxmlformats.org/spreadsheetml/2006/main" count="77" uniqueCount="43">
  <si>
    <t>Class ID</t>
  </si>
  <si>
    <t>class_name</t>
  </si>
  <si>
    <t>count_train</t>
  </si>
  <si>
    <t>count_eval</t>
  </si>
  <si>
    <t>within_class_variability_train</t>
  </si>
  <si>
    <t>within_class_variability_eval</t>
  </si>
  <si>
    <t>nearest_class_name_train</t>
  </si>
  <si>
    <t>nearest_class_name_eval</t>
  </si>
  <si>
    <t>distance_to_nearest_class_train</t>
  </si>
  <si>
    <t>distance_to_nearest_class_eval</t>
  </si>
  <si>
    <t>difficulty_score_train</t>
  </si>
  <si>
    <t>difficulty_score_eval</t>
  </si>
  <si>
    <t>Nearest Class</t>
  </si>
  <si>
    <t>T-shirt/top</t>
  </si>
  <si>
    <t>Shirt</t>
  </si>
  <si>
    <t>Trouser</t>
  </si>
  <si>
    <t>Dress</t>
  </si>
  <si>
    <t>Pullover</t>
  </si>
  <si>
    <t>Coat</t>
  </si>
  <si>
    <t>Sandal</t>
  </si>
  <si>
    <t>Sneaker</t>
  </si>
  <si>
    <t>Bag</t>
  </si>
  <si>
    <t>Ankle boot</t>
  </si>
  <si>
    <t>ID</t>
  </si>
  <si>
    <t>Label</t>
  </si>
  <si>
    <t>Category</t>
  </si>
  <si>
    <t>Sub-category</t>
  </si>
  <si>
    <t>Upper-body clothing</t>
  </si>
  <si>
    <t>Short-sleeve tops</t>
  </si>
  <si>
    <t>Lower-body clothing</t>
  </si>
  <si>
    <t>Long pants</t>
  </si>
  <si>
    <t>Sweaters</t>
  </si>
  <si>
    <t>Full-body clothing</t>
  </si>
  <si>
    <t>Dresses</t>
  </si>
  <si>
    <t>Outerwear</t>
  </si>
  <si>
    <t>Coat/Jackets</t>
  </si>
  <si>
    <t>Footwear</t>
  </si>
  <si>
    <t>Open shoes</t>
  </si>
  <si>
    <t>Shirts</t>
  </si>
  <si>
    <t>Athletic shoes</t>
  </si>
  <si>
    <t>Accessory</t>
  </si>
  <si>
    <t>Bags</t>
  </si>
  <si>
    <t>Boots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</si>
</sst>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Monospace"/>
    </font>
    <font>
      <color theme="1"/>
      <name val="Arial"/>
      <scheme val="minor"/>
    </font>
    <font>
      <b/>
      <sz val="11.0"/>
      <color rgb="FF1F1F1F"/>
      <name val="&quot;Google Sans Text&quot;"/>
    </font>
    <font>
      <sz val="11.0"/>
      <color rgb="FF1F1F1F"/>
      <name val="&quot;Google Sans Text&quot;"/>
    </font>
    <font>
      <sz val="11.0"/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5" numFmtId="0" xfId="0" applyAlignment="1" applyFon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 aware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EDA!$E$1</c:f>
            </c:strRef>
          </c:tx>
          <c:spPr>
            <a:solidFill>
              <a:srgbClr val="C4C7C5"/>
            </a:solidFill>
            <a:ln cmpd="sng">
              <a:noFill/>
            </a:ln>
          </c:spPr>
          <c:cat>
            <c:strRef>
              <c:f>EDA!$B$2:$B$11</c:f>
            </c:strRef>
          </c:cat>
          <c:val>
            <c:numRef>
              <c:f>EDA!$E$2:$E$11</c:f>
              <c:numCache/>
            </c:numRef>
          </c:val>
        </c:ser>
        <c:ser>
          <c:idx val="1"/>
          <c:order val="1"/>
          <c:tx>
            <c:strRef>
              <c:f>EDA!$F$1</c:f>
            </c:strRef>
          </c:tx>
          <c:spPr>
            <a:solidFill>
              <a:srgbClr val="356854"/>
            </a:solidFill>
            <a:ln cmpd="sng">
              <a:noFill/>
            </a:ln>
          </c:spPr>
          <c:cat>
            <c:strRef>
              <c:f>EDA!$B$2:$B$11</c:f>
            </c:strRef>
          </c:cat>
          <c:val>
            <c:numRef>
              <c:f>EDA!$F$2:$F$11</c:f>
              <c:numCache/>
            </c:numRef>
          </c:val>
        </c:ser>
        <c:axId val="1027591864"/>
        <c:axId val="1757116261"/>
      </c:barChart>
      <c:catAx>
        <c:axId val="10275918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116261"/>
      </c:catAx>
      <c:valAx>
        <c:axId val="17571162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Within Class Variability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5918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EDA!$M$2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EDA!$I$2</c:f>
            </c:strRef>
          </c:xVal>
          <c:yVal>
            <c:numRef>
              <c:f>EDA!$E$2</c:f>
              <c:numCache/>
            </c:numRef>
          </c:yVal>
          <c:bubbleSize>
            <c:numRef>
              <c:f>EDA!$K$2</c:f>
            </c:numRef>
          </c:bubbleSize>
        </c:ser>
        <c:ser>
          <c:idx val="1"/>
          <c:order val="1"/>
          <c:tx>
            <c:strRef>
              <c:f>EDA!$M$3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EDA!$I$3</c:f>
            </c:strRef>
          </c:xVal>
          <c:yVal>
            <c:numRef>
              <c:f>EDA!$E$3</c:f>
              <c:numCache/>
            </c:numRef>
          </c:yVal>
          <c:bubbleSize>
            <c:numRef>
              <c:f>EDA!$K$3</c:f>
            </c:numRef>
          </c:bubbleSize>
        </c:ser>
        <c:ser>
          <c:idx val="2"/>
          <c:order val="2"/>
          <c:tx>
            <c:strRef>
              <c:f>EDA!$M$4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EDA!$I$4</c:f>
            </c:strRef>
          </c:xVal>
          <c:yVal>
            <c:numRef>
              <c:f>EDA!$E$4</c:f>
              <c:numCache/>
            </c:numRef>
          </c:yVal>
          <c:bubbleSize>
            <c:numRef>
              <c:f>EDA!$K$4</c:f>
            </c:numRef>
          </c:bubbleSize>
        </c:ser>
        <c:ser>
          <c:idx val="3"/>
          <c:order val="3"/>
          <c:tx>
            <c:strRef>
              <c:f>EDA!$M$5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EDA!$I$5</c:f>
            </c:strRef>
          </c:xVal>
          <c:yVal>
            <c:numRef>
              <c:f>EDA!$E$5</c:f>
              <c:numCache/>
            </c:numRef>
          </c:yVal>
          <c:bubbleSize>
            <c:numRef>
              <c:f>EDA!$K$5</c:f>
            </c:numRef>
          </c:bubbleSize>
        </c:ser>
        <c:ser>
          <c:idx val="4"/>
          <c:order val="4"/>
          <c:tx>
            <c:strRef>
              <c:f>EDA!$M$6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EDA!$I$6</c:f>
            </c:strRef>
          </c:xVal>
          <c:yVal>
            <c:numRef>
              <c:f>EDA!$E$6</c:f>
              <c:numCache/>
            </c:numRef>
          </c:yVal>
          <c:bubbleSize>
            <c:numRef>
              <c:f>EDA!$K$6</c:f>
            </c:numRef>
          </c:bubbleSize>
        </c:ser>
        <c:ser>
          <c:idx val="5"/>
          <c:order val="5"/>
          <c:tx>
            <c:strRef>
              <c:f>EDA!$M$7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EDA!$I$7</c:f>
            </c:strRef>
          </c:xVal>
          <c:yVal>
            <c:numRef>
              <c:f>EDA!$E$7</c:f>
              <c:numCache/>
            </c:numRef>
          </c:yVal>
          <c:bubbleSize>
            <c:numRef>
              <c:f>EDA!$K$7</c:f>
            </c:numRef>
          </c:bubbleSize>
        </c:ser>
        <c:ser>
          <c:idx val="6"/>
          <c:order val="6"/>
          <c:tx>
            <c:strRef>
              <c:f>EDA!$M$8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EDA!$I$8</c:f>
            </c:strRef>
          </c:xVal>
          <c:yVal>
            <c:numRef>
              <c:f>EDA!$E$8</c:f>
              <c:numCache/>
            </c:numRef>
          </c:yVal>
          <c:bubbleSize>
            <c:numRef>
              <c:f>EDA!$K$8</c:f>
            </c:numRef>
          </c:bubbleSize>
        </c:ser>
        <c:ser>
          <c:idx val="7"/>
          <c:order val="7"/>
          <c:tx>
            <c:strRef>
              <c:f>EDA!$M$9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EDA!$I$9</c:f>
            </c:strRef>
          </c:xVal>
          <c:yVal>
            <c:numRef>
              <c:f>EDA!$E$9</c:f>
              <c:numCache/>
            </c:numRef>
          </c:yVal>
          <c:bubbleSize>
            <c:numRef>
              <c:f>EDA!$K$9</c:f>
            </c:numRef>
          </c:bubbleSize>
        </c:ser>
        <c:ser>
          <c:idx val="8"/>
          <c:order val="8"/>
          <c:tx>
            <c:strRef>
              <c:f>EDA!$M$10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EDA!$I$10</c:f>
            </c:strRef>
          </c:xVal>
          <c:yVal>
            <c:numRef>
              <c:f>EDA!$E$10</c:f>
              <c:numCache/>
            </c:numRef>
          </c:yVal>
          <c:bubbleSize>
            <c:numRef>
              <c:f>EDA!$K$10</c:f>
            </c:numRef>
          </c:bubbleSize>
        </c:ser>
        <c:ser>
          <c:idx val="9"/>
          <c:order val="9"/>
          <c:tx>
            <c:strRef>
              <c:f>EDA!$M$11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EDA!$I$11</c:f>
            </c:strRef>
          </c:xVal>
          <c:yVal>
            <c:numRef>
              <c:f>EDA!$E$11</c:f>
              <c:numCache/>
            </c:numRef>
          </c:yVal>
          <c:bubbleSize>
            <c:numRef>
              <c:f>EDA!$K$11</c:f>
            </c:numRef>
          </c:bubbleSize>
        </c:ser>
        <c:axId val="327907424"/>
        <c:axId val="279619049"/>
      </c:bubbleChart>
      <c:valAx>
        <c:axId val="327907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within_class_variability_train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619049"/>
      </c:valAx>
      <c:valAx>
        <c:axId val="279619049"/>
        <c:scaling>
          <c:orientation val="minMax"/>
          <c:max val="0.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distance_to_nearest_class_train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90742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12</xdr:row>
      <xdr:rowOff>161925</xdr:rowOff>
    </xdr:from>
    <xdr:ext cx="5791200" cy="4371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1809750</xdr:colOff>
      <xdr:row>13</xdr:row>
      <xdr:rowOff>38100</xdr:rowOff>
    </xdr:from>
    <xdr:ext cx="6257925" cy="4371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" displayName="Table1" name="Table1" id="1">
  <tableColumns count="13">
    <tableColumn name="Class ID" id="1"/>
    <tableColumn name="class_name" id="2"/>
    <tableColumn name="count_train" id="3"/>
    <tableColumn name="count_eval" id="4"/>
    <tableColumn name="within_class_variability_train" id="5"/>
    <tableColumn name="within_class_variability_eval" id="6"/>
    <tableColumn name="nearest_class_name_train" id="7"/>
    <tableColumn name="nearest_class_name_eval" id="8"/>
    <tableColumn name="distance_to_nearest_class_train" id="9"/>
    <tableColumn name="distance_to_nearest_class_eval" id="10"/>
    <tableColumn name="difficulty_score_train" id="11"/>
    <tableColumn name="difficulty_score_eval" id="12"/>
    <tableColumn name="Nearest Class" id="13"/>
  </tableColumns>
  <tableStyleInfo name="EDA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2">
  <tableColumns count="4">
    <tableColumn name="ID" id="1"/>
    <tableColumn name="Label" id="2"/>
    <tableColumn name="Category" id="3"/>
    <tableColumn name="Sub-category" id="4"/>
  </tableColumns>
  <tableStyleInfo name="Cost aware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88"/>
    <col customWidth="1" min="3" max="3" width="18.75"/>
    <col customWidth="1" min="4" max="4" width="18.38"/>
    <col customWidth="1" min="5" max="5" width="34.25"/>
    <col customWidth="1" min="6" max="6" width="33.75"/>
    <col customWidth="1" min="7" max="7" width="28.38"/>
    <col customWidth="1" min="8" max="8" width="28.0"/>
    <col customWidth="1" min="9" max="9" width="37.13"/>
    <col customWidth="1" min="10" max="10" width="36.63"/>
    <col customWidth="1" min="11" max="11" width="27.25"/>
    <col customWidth="1" min="12" max="12" width="26.88"/>
    <col customWidth="1" min="13" max="13" width="21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</row>
    <row r="2" ht="22.5" customHeight="1">
      <c r="A2" s="5">
        <v>0.0</v>
      </c>
      <c r="B2" s="6" t="s">
        <v>13</v>
      </c>
      <c r="C2" s="7">
        <v>6000.0</v>
      </c>
      <c r="D2" s="7">
        <v>1000.0</v>
      </c>
      <c r="E2" s="7">
        <v>0.2051</v>
      </c>
      <c r="F2" s="7">
        <v>0.204174</v>
      </c>
      <c r="G2" s="6" t="s">
        <v>14</v>
      </c>
      <c r="H2" s="6" t="s">
        <v>14</v>
      </c>
      <c r="I2" s="7">
        <v>3.716027</v>
      </c>
      <c r="J2" s="7">
        <v>3.626939</v>
      </c>
      <c r="K2" s="7">
        <v>0.055193</v>
      </c>
      <c r="L2" s="7">
        <v>0.056294</v>
      </c>
      <c r="M2" s="8" t="str">
        <f t="shared" ref="M2:M11" si="1">CONCATENATE(B2," --&gt; ",G2)</f>
        <v>T-shirt/top --&gt; Shirt</v>
      </c>
    </row>
    <row r="3" ht="22.5" customHeight="1">
      <c r="A3" s="9">
        <v>1.0</v>
      </c>
      <c r="B3" s="10" t="s">
        <v>15</v>
      </c>
      <c r="C3" s="11">
        <v>6000.0</v>
      </c>
      <c r="D3" s="11">
        <v>1000.0</v>
      </c>
      <c r="E3" s="11">
        <v>0.143424</v>
      </c>
      <c r="F3" s="11">
        <v>0.142788</v>
      </c>
      <c r="G3" s="10" t="s">
        <v>16</v>
      </c>
      <c r="H3" s="10" t="s">
        <v>16</v>
      </c>
      <c r="I3" s="11">
        <v>4.099491</v>
      </c>
      <c r="J3" s="11">
        <v>4.02939</v>
      </c>
      <c r="K3" s="11">
        <v>0.034986</v>
      </c>
      <c r="L3" s="11">
        <v>0.035437</v>
      </c>
      <c r="M3" s="8" t="str">
        <f t="shared" si="1"/>
        <v>Trouser --&gt; Dress</v>
      </c>
    </row>
    <row r="4" ht="22.5" customHeight="1">
      <c r="A4" s="5">
        <v>2.0</v>
      </c>
      <c r="B4" s="6" t="s">
        <v>17</v>
      </c>
      <c r="C4" s="7">
        <v>6000.0</v>
      </c>
      <c r="D4" s="7">
        <v>1000.0</v>
      </c>
      <c r="E4" s="7">
        <v>0.223292</v>
      </c>
      <c r="F4" s="7">
        <v>0.220737</v>
      </c>
      <c r="G4" s="6" t="s">
        <v>18</v>
      </c>
      <c r="H4" s="6" t="s">
        <v>18</v>
      </c>
      <c r="I4" s="7">
        <v>2.482695</v>
      </c>
      <c r="J4" s="7">
        <v>2.345387</v>
      </c>
      <c r="K4" s="7">
        <v>0.089939</v>
      </c>
      <c r="L4" s="7">
        <v>0.094116</v>
      </c>
      <c r="M4" s="8" t="str">
        <f t="shared" si="1"/>
        <v>Pullover --&gt; Coat</v>
      </c>
    </row>
    <row r="5" ht="22.5" customHeight="1">
      <c r="A5" s="9">
        <v>3.0</v>
      </c>
      <c r="B5" s="10" t="s">
        <v>16</v>
      </c>
      <c r="C5" s="11">
        <v>6000.0</v>
      </c>
      <c r="D5" s="11">
        <v>1000.0</v>
      </c>
      <c r="E5" s="11">
        <v>0.172616</v>
      </c>
      <c r="F5" s="11">
        <v>0.176293</v>
      </c>
      <c r="G5" s="10" t="s">
        <v>15</v>
      </c>
      <c r="H5" s="10" t="s">
        <v>15</v>
      </c>
      <c r="I5" s="11">
        <v>4.099491</v>
      </c>
      <c r="J5" s="11">
        <v>4.02939</v>
      </c>
      <c r="K5" s="11">
        <v>0.042107</v>
      </c>
      <c r="L5" s="11">
        <v>0.043752</v>
      </c>
      <c r="M5" s="8" t="str">
        <f t="shared" si="1"/>
        <v>Dress --&gt; Trouser</v>
      </c>
    </row>
    <row r="6" ht="22.5" customHeight="1">
      <c r="A6" s="5">
        <v>4.0</v>
      </c>
      <c r="B6" s="6" t="s">
        <v>18</v>
      </c>
      <c r="C6" s="7">
        <v>6000.0</v>
      </c>
      <c r="D6" s="7">
        <v>1000.0</v>
      </c>
      <c r="E6" s="7">
        <v>0.201308</v>
      </c>
      <c r="F6" s="7">
        <v>0.204179</v>
      </c>
      <c r="G6" s="6" t="s">
        <v>17</v>
      </c>
      <c r="H6" s="6" t="s">
        <v>17</v>
      </c>
      <c r="I6" s="7">
        <v>2.482695</v>
      </c>
      <c r="J6" s="7">
        <v>2.345387</v>
      </c>
      <c r="K6" s="7">
        <v>0.081085</v>
      </c>
      <c r="L6" s="7">
        <v>0.087056</v>
      </c>
      <c r="M6" s="8" t="str">
        <f t="shared" si="1"/>
        <v>Coat --&gt; Pullover</v>
      </c>
    </row>
    <row r="7" ht="22.5" customHeight="1">
      <c r="A7" s="9">
        <v>5.0</v>
      </c>
      <c r="B7" s="10" t="s">
        <v>19</v>
      </c>
      <c r="C7" s="11">
        <v>6000.0</v>
      </c>
      <c r="D7" s="11">
        <v>1000.0</v>
      </c>
      <c r="E7" s="11">
        <v>0.191502</v>
      </c>
      <c r="F7" s="11">
        <v>0.18951</v>
      </c>
      <c r="G7" s="10" t="s">
        <v>20</v>
      </c>
      <c r="H7" s="10" t="s">
        <v>20</v>
      </c>
      <c r="I7" s="11">
        <v>3.838504</v>
      </c>
      <c r="J7" s="11">
        <v>3.960492</v>
      </c>
      <c r="K7" s="11">
        <v>0.04989</v>
      </c>
      <c r="L7" s="11">
        <v>0.04785</v>
      </c>
      <c r="M7" s="8" t="str">
        <f t="shared" si="1"/>
        <v>Sandal --&gt; Sneaker</v>
      </c>
    </row>
    <row r="8" ht="22.5" customHeight="1">
      <c r="A8" s="5">
        <v>6.0</v>
      </c>
      <c r="B8" s="6" t="s">
        <v>14</v>
      </c>
      <c r="C8" s="7">
        <v>6000.0</v>
      </c>
      <c r="D8" s="7">
        <v>1000.0</v>
      </c>
      <c r="E8" s="7">
        <v>0.228606</v>
      </c>
      <c r="F8" s="7">
        <v>0.229446</v>
      </c>
      <c r="G8" s="6" t="s">
        <v>17</v>
      </c>
      <c r="H8" s="6" t="s">
        <v>17</v>
      </c>
      <c r="I8" s="7">
        <v>2.675172</v>
      </c>
      <c r="J8" s="7">
        <v>2.597959</v>
      </c>
      <c r="K8" s="7">
        <v>0.085455</v>
      </c>
      <c r="L8" s="7">
        <v>0.088318</v>
      </c>
      <c r="M8" s="8" t="str">
        <f t="shared" si="1"/>
        <v>Shirt --&gt; Pullover</v>
      </c>
    </row>
    <row r="9" ht="22.5" customHeight="1">
      <c r="A9" s="9">
        <v>7.0</v>
      </c>
      <c r="B9" s="10" t="s">
        <v>20</v>
      </c>
      <c r="C9" s="11">
        <v>6000.0</v>
      </c>
      <c r="D9" s="11">
        <v>1000.0</v>
      </c>
      <c r="E9" s="11">
        <v>0.131571</v>
      </c>
      <c r="F9" s="11">
        <v>0.126013</v>
      </c>
      <c r="G9" s="10" t="s">
        <v>19</v>
      </c>
      <c r="H9" s="10" t="s">
        <v>19</v>
      </c>
      <c r="I9" s="11">
        <v>3.838504</v>
      </c>
      <c r="J9" s="11">
        <v>3.960492</v>
      </c>
      <c r="K9" s="11">
        <v>0.034277</v>
      </c>
      <c r="L9" s="11">
        <v>0.031817</v>
      </c>
      <c r="M9" s="8" t="str">
        <f t="shared" si="1"/>
        <v>Sneaker --&gt; Sandal</v>
      </c>
    </row>
    <row r="10" ht="22.5" customHeight="1">
      <c r="A10" s="5">
        <v>8.0</v>
      </c>
      <c r="B10" s="6" t="s">
        <v>21</v>
      </c>
      <c r="C10" s="7">
        <v>6000.0</v>
      </c>
      <c r="D10" s="7">
        <v>1000.0</v>
      </c>
      <c r="E10" s="7">
        <v>0.266019</v>
      </c>
      <c r="F10" s="7">
        <v>0.265945</v>
      </c>
      <c r="G10" s="6" t="s">
        <v>14</v>
      </c>
      <c r="H10" s="6" t="s">
        <v>14</v>
      </c>
      <c r="I10" s="7">
        <v>5.362728</v>
      </c>
      <c r="J10" s="7">
        <v>5.275205</v>
      </c>
      <c r="K10" s="7">
        <v>0.049605</v>
      </c>
      <c r="L10" s="7">
        <v>0.050414</v>
      </c>
      <c r="M10" s="8" t="str">
        <f t="shared" si="1"/>
        <v>Bag --&gt; Shirt</v>
      </c>
    </row>
    <row r="11" ht="22.5" customHeight="1">
      <c r="A11" s="9">
        <v>9.0</v>
      </c>
      <c r="B11" s="10" t="s">
        <v>22</v>
      </c>
      <c r="C11" s="11">
        <v>6000.0</v>
      </c>
      <c r="D11" s="11">
        <v>1000.0</v>
      </c>
      <c r="E11" s="11">
        <v>0.193353</v>
      </c>
      <c r="F11" s="11">
        <v>0.194631</v>
      </c>
      <c r="G11" s="10" t="s">
        <v>21</v>
      </c>
      <c r="H11" s="10" t="s">
        <v>21</v>
      </c>
      <c r="I11" s="11">
        <v>6.156437</v>
      </c>
      <c r="J11" s="11">
        <v>6.186938</v>
      </c>
      <c r="K11" s="11">
        <v>0.031407</v>
      </c>
      <c r="L11" s="11">
        <v>0.031458</v>
      </c>
      <c r="M11" s="8" t="str">
        <f t="shared" si="1"/>
        <v>Ankle boot --&gt; Bag</v>
      </c>
    </row>
  </sheetData>
  <dataValidations>
    <dataValidation type="custom" allowBlank="1" showDropDown="1" sqref="A2:A11 C2:F11 I2:L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4" max="4" width="21.13"/>
  </cols>
  <sheetData>
    <row r="1" ht="22.5" customHeight="1">
      <c r="A1" s="12" t="s">
        <v>23</v>
      </c>
      <c r="B1" s="13" t="s">
        <v>24</v>
      </c>
      <c r="C1" s="13" t="s">
        <v>25</v>
      </c>
      <c r="D1" s="13" t="s">
        <v>26</v>
      </c>
    </row>
    <row r="2" ht="22.5" customHeight="1">
      <c r="A2" s="14">
        <v>0.0</v>
      </c>
      <c r="B2" s="15" t="s">
        <v>13</v>
      </c>
      <c r="C2" s="15" t="s">
        <v>27</v>
      </c>
      <c r="D2" s="15" t="s">
        <v>28</v>
      </c>
    </row>
    <row r="3" ht="22.5" customHeight="1">
      <c r="A3" s="14">
        <v>1.0</v>
      </c>
      <c r="B3" s="15" t="s">
        <v>15</v>
      </c>
      <c r="C3" s="15" t="s">
        <v>29</v>
      </c>
      <c r="D3" s="15" t="s">
        <v>30</v>
      </c>
    </row>
    <row r="4" ht="22.5" customHeight="1">
      <c r="A4" s="14">
        <v>2.0</v>
      </c>
      <c r="B4" s="15" t="s">
        <v>17</v>
      </c>
      <c r="C4" s="15" t="s">
        <v>27</v>
      </c>
      <c r="D4" s="15" t="s">
        <v>31</v>
      </c>
    </row>
    <row r="5" ht="22.5" customHeight="1">
      <c r="A5" s="14">
        <v>3.0</v>
      </c>
      <c r="B5" s="15" t="s">
        <v>16</v>
      </c>
      <c r="C5" s="15" t="s">
        <v>32</v>
      </c>
      <c r="D5" s="15" t="s">
        <v>33</v>
      </c>
    </row>
    <row r="6" ht="22.5" customHeight="1">
      <c r="A6" s="14">
        <v>4.0</v>
      </c>
      <c r="B6" s="15" t="s">
        <v>18</v>
      </c>
      <c r="C6" s="15" t="s">
        <v>34</v>
      </c>
      <c r="D6" s="15" t="s">
        <v>35</v>
      </c>
    </row>
    <row r="7" ht="22.5" customHeight="1">
      <c r="A7" s="14">
        <v>5.0</v>
      </c>
      <c r="B7" s="15" t="s">
        <v>19</v>
      </c>
      <c r="C7" s="15" t="s">
        <v>36</v>
      </c>
      <c r="D7" s="15" t="s">
        <v>37</v>
      </c>
    </row>
    <row r="8" ht="22.5" customHeight="1">
      <c r="A8" s="14">
        <v>6.0</v>
      </c>
      <c r="B8" s="15" t="s">
        <v>14</v>
      </c>
      <c r="C8" s="15" t="s">
        <v>27</v>
      </c>
      <c r="D8" s="15" t="s">
        <v>38</v>
      </c>
    </row>
    <row r="9" ht="22.5" customHeight="1">
      <c r="A9" s="14">
        <v>7.0</v>
      </c>
      <c r="B9" s="15" t="s">
        <v>20</v>
      </c>
      <c r="C9" s="15" t="s">
        <v>36</v>
      </c>
      <c r="D9" s="15" t="s">
        <v>39</v>
      </c>
    </row>
    <row r="10" ht="22.5" customHeight="1">
      <c r="A10" s="14">
        <v>8.0</v>
      </c>
      <c r="B10" s="15" t="s">
        <v>21</v>
      </c>
      <c r="C10" s="15" t="s">
        <v>40</v>
      </c>
      <c r="D10" s="15" t="s">
        <v>41</v>
      </c>
    </row>
    <row r="11" ht="22.5" customHeight="1">
      <c r="A11" s="14">
        <v>9.0</v>
      </c>
      <c r="B11" s="15" t="s">
        <v>22</v>
      </c>
      <c r="C11" s="15" t="s">
        <v>36</v>
      </c>
      <c r="D11" s="15" t="s">
        <v>42</v>
      </c>
    </row>
    <row r="12">
      <c r="D12" s="16"/>
    </row>
    <row r="13">
      <c r="D13" s="16"/>
    </row>
    <row r="14">
      <c r="D14" s="16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